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ngkasan" sheetId="1" r:id="rId1"/>
    <sheet name="Checklist" sheetId="2" r:id="rId2"/>
    <sheet name="Referensi" sheetId="3" r:id="rId3"/>
    <sheet name="Log Eksekusi" sheetId="4" r:id="rId4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</fills>
  <borders count="1">
    <border>
      <left/>
      <right/>
      <top/>
      <bottom/>
      <diagonal/>
    </border>
  </borders>
  <cellXfs count="2">
    <xf numFmtId="0" fontId="0" fillId="0" borderId="0"/>
    <xf numFmtId="0" fontId="1" fillId="1" border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" Target="styles.xml"/></Relationships>
</file>

<file path=xl/worksheets/sheet1.xml><?xml version="1.0" encoding="utf-8"?>
<worksheet xmlns="http://schemas.openxmlformats.org/spreadsheetml/2006/main">
  <sheetViews>
    <sheetView showGridLines="0"/>
  </sheetViews>
  <sheetData>
    <row r="1">
      <c r="A1" s="1" t="inlineStr">
        <is>
          <t>Checklist Koneksi Database Production</t>
        </is>
      </c>
    </row>
    <row r="2">
      <c r="A2" s="0" t="inlineStr">
        <is>
          <t>Yayasan App | As of 22 Oktober 2026</t>
        </is>
      </c>
    </row>
    <row r="3"/>
    <row r="4">
      <c r="A4" s="0" t="inlineStr">
        <is>
          <t>Ringkasan progres</t>
        </is>
      </c>
    </row>
    <row r="5">
      <c r="A5" s="0" t="inlineStr">
        <is>
          <t>Total tugas</t>
        </is>
      </c>
      <c r="B5" s="0">
        <f>COUNTA(Checklist!A2:A200)</f>
      </c>
    </row>
    <row r="6">
      <c r="A6" s="0" t="inlineStr">
        <is>
          <t>Belum Mulai</t>
        </is>
      </c>
      <c r="B6" s="0">
        <f>COUNTIF(Checklist!G2:G200,"Belum Mulai")</f>
      </c>
    </row>
    <row r="7">
      <c r="A7" s="0" t="inlineStr">
        <is>
          <t>Berjalan</t>
        </is>
      </c>
      <c r="B7" s="0">
        <f>COUNTIF(Checklist!G2:G200,"Berjalan")</f>
      </c>
    </row>
    <row r="8">
      <c r="A8" s="0" t="inlineStr">
        <is>
          <t>Selesai</t>
        </is>
      </c>
      <c r="B8" s="0">
        <f>COUNTIF(Checklist!G2:G200,"Selesai")</f>
      </c>
    </row>
    <row r="9">
      <c r="A9" s="0" t="inlineStr">
        <is>
          <t>Blocked</t>
        </is>
      </c>
      <c r="B9" s="0">
        <f>COUNTIF(Checklist!G2:G200,"Blocked")</f>
      </c>
    </row>
    <row r="10">
      <c r="A10" s="0" t="inlineStr">
        <is>
          <t>Persentase selesai</t>
        </is>
      </c>
      <c r="B10" s="0">
        <f>IFERROR(B8/B5,0)</f>
      </c>
    </row>
    <row r="11"/>
    <row r="12">
      <c r="A12" s="0" t="inlineStr">
        <is>
          <t>Cara pakai</t>
        </is>
      </c>
    </row>
    <row r="13">
      <c r="A13" s="0" t="inlineStr">
        <is>
          <t>Pilih status pada sheet Checklist, isi PIC dan tanggal target, lalu catat bukti atau temuan. Filter tersedia pada header tabel.</t>
        </is>
      </c>
    </row>
  </sheetData>
</worksheet>
</file>

<file path=xl/worksheets/sheet2.xml><?xml version="1.0" encoding="utf-8"?>
<worksheet xmlns="http://schemas.openxmlformats.org/spreadsheetml/2006/main">
  <sheetViews>
    <sheetView showGridLines="0"/>
  </sheetViews>
  <sheetData>
    <row r="1">
      <c r="A1" s="1" t="inlineStr">
        <is>
          <t>ID</t>
        </is>
      </c>
      <c r="B1" s="1" t="inlineStr">
        <is>
          <t>Prioritas</t>
        </is>
      </c>
      <c r="C1" s="1" t="inlineStr">
        <is>
          <t>Area</t>
        </is>
      </c>
      <c r="D1" s="1" t="inlineStr">
        <is>
          <t>Tugas checklist</t>
        </is>
      </c>
      <c r="E1" s="1" t="inlineStr">
        <is>
          <t>Sumber/Tabel/Komponen</t>
        </is>
      </c>
      <c r="F1" s="1" t="inlineStr">
        <is>
          <t>Kriteria selesai</t>
        </is>
      </c>
      <c r="G1" s="1" t="inlineStr">
        <is>
          <t>Status</t>
        </is>
      </c>
      <c r="H1" s="1" t="inlineStr">
        <is>
          <t>PIC</t>
        </is>
      </c>
      <c r="I1" s="1" t="inlineStr">
        <is>
          <t>Tanggal target</t>
        </is>
      </c>
      <c r="J1" s="1" t="inlineStr">
        <is>
          <t>Tanggal selesai</t>
        </is>
      </c>
      <c r="K1" s="1" t="inlineStr">
        <is>
          <t>Bukti/Link/Temuan</t>
        </is>
      </c>
      <c r="L1" s="1" t="inlineStr">
        <is>
          <t>Catatan</t>
        </is>
      </c>
    </row>
    <row r="2">
      <c r="A2" s="0" t="inlineStr">
        <is>
          <t>1</t>
        </is>
      </c>
      <c r="B2" s="0" t="inlineStr">
        <is>
          <t>P0</t>
        </is>
      </c>
      <c r="C2" s="0" t="inlineStr">
        <is>
          <t>Environment</t>
        </is>
      </c>
      <c r="D2" s="0" t="inlineStr">
        <is>
          <t>Bekukan konfigurasi production dan pastikan APP_ENV=production serta APP_DEBUG=false</t>
        </is>
      </c>
      <c r="E2" s="0" t="inlineStr">
        <is>
          <t>Production .env</t>
        </is>
      </c>
      <c r="F2" s="0" t="inlineStr">
        <is>
          <t>Tidak ada credential di source code; environment production tervalidasi</t>
        </is>
      </c>
      <c r="G2" s="0" t="inlineStr">
        <is>
          <t>Belum Mulai</t>
        </is>
      </c>
      <c r="H2" s="0"/>
      <c r="I2" s="0"/>
      <c r="J2" s="0"/>
      <c r="K2" s="0"/>
      <c r="L2" s="0"/>
      <c r="M2" s="0"/>
    </row>
    <row r="3">
      <c r="A3" s="0" t="inlineStr">
        <is>
          <t>2</t>
        </is>
      </c>
      <c r="B3" s="0" t="inlineStr">
        <is>
          <t>P0</t>
        </is>
      </c>
      <c r="C3" s="0" t="inlineStr">
        <is>
          <t>Environment</t>
        </is>
      </c>
      <c r="D3" s="0" t="inlineStr">
        <is>
          <t>Validasi koneksi PostgreSQL production dengan query sederhana</t>
        </is>
      </c>
      <c r="E3" s="0" t="inlineStr">
        <is>
          <t>Database production</t>
        </is>
      </c>
      <c r="F3" s="0" t="inlineStr">
        <is>
          <t>Query users dan migrations berhasil tanpa error</t>
        </is>
      </c>
      <c r="G3" s="0" t="inlineStr">
        <is>
          <t>Belum Mulai</t>
        </is>
      </c>
      <c r="H3" s="0"/>
      <c r="I3" s="0"/>
      <c r="J3" s="0"/>
      <c r="K3" s="0"/>
      <c r="L3" s="0"/>
      <c r="M3" s="0"/>
    </row>
    <row r="4">
      <c r="A4" s="0" t="inlineStr">
        <is>
          <t>3</t>
        </is>
      </c>
      <c r="B4" s="0" t="inlineStr">
        <is>
          <t>P0</t>
        </is>
      </c>
      <c r="C4" s="0" t="inlineStr">
        <is>
          <t>Environment</t>
        </is>
      </c>
      <c r="D4" s="0" t="inlineStr">
        <is>
          <t>Pastikan koneksi legacy SIDIKMA hanya read-only</t>
        </is>
      </c>
      <c r="E4" s="0" t="inlineStr">
        <is>
          <t>mysql_sidikma</t>
        </is>
      </c>
      <c r="F4" s="0" t="inlineStr">
        <is>
          <t>User database legacy tidak memiliki hak INSERT/UPDATE/DELETE</t>
        </is>
      </c>
      <c r="G4" s="0" t="inlineStr">
        <is>
          <t>Belum Mulai</t>
        </is>
      </c>
      <c r="H4" s="0"/>
      <c r="I4" s="0"/>
      <c r="J4" s="0"/>
      <c r="K4" s="0"/>
      <c r="L4" s="0"/>
      <c r="M4" s="0"/>
    </row>
    <row r="5">
      <c r="A5" s="0" t="inlineStr">
        <is>
          <t>4</t>
        </is>
      </c>
      <c r="B5" s="0" t="inlineStr">
        <is>
          <t>P0</t>
        </is>
      </c>
      <c r="C5" s="0" t="inlineStr">
        <is>
          <t>Environment</t>
        </is>
      </c>
      <c r="D5" s="0" t="inlineStr">
        <is>
          <t>Validasi storage, cache, queue, dan session production</t>
        </is>
      </c>
      <c r="E5" s="0" t="inlineStr">
        <is>
          <t>Server production</t>
        </is>
      </c>
      <c r="F5" s="0" t="inlineStr">
        <is>
          <t>Semua service menunjuk resource production yang benar</t>
        </is>
      </c>
      <c r="G5" s="0" t="inlineStr">
        <is>
          <t>Belum Mulai</t>
        </is>
      </c>
      <c r="H5" s="0"/>
      <c r="I5" s="0"/>
      <c r="J5" s="0"/>
      <c r="K5" s="0"/>
      <c r="L5" s="0"/>
      <c r="M5" s="0"/>
    </row>
    <row r="6">
      <c r="A6" s="0" t="inlineStr">
        <is>
          <t>5</t>
        </is>
      </c>
      <c r="B6" s="0" t="inlineStr">
        <is>
          <t>P0</t>
        </is>
      </c>
      <c r="C6" s="0" t="inlineStr">
        <is>
          <t>Backup</t>
        </is>
      </c>
      <c r="D6" s="0" t="inlineStr">
        <is>
          <t>Backup database production sebelum perubahan</t>
        </is>
      </c>
      <c r="E6" s="0" t="inlineStr">
        <is>
          <t>Database production</t>
        </is>
      </c>
      <c r="F6" s="0" t="inlineStr">
        <is>
          <t>Backup tersimpan dan ukuran file tervalidasi</t>
        </is>
      </c>
      <c r="G6" s="0" t="inlineStr">
        <is>
          <t>Belum Mulai</t>
        </is>
      </c>
      <c r="H6" s="0"/>
      <c r="I6" s="0"/>
      <c r="J6" s="0"/>
      <c r="K6" s="0"/>
      <c r="L6" s="0"/>
      <c r="M6" s="0"/>
    </row>
    <row r="7">
      <c r="A7" s="0" t="inlineStr">
        <is>
          <t>6</t>
        </is>
      </c>
      <c r="B7" s="0" t="inlineStr">
        <is>
          <t>P0</t>
        </is>
      </c>
      <c r="C7" s="0" t="inlineStr">
        <is>
          <t>Migration</t>
        </is>
      </c>
      <c r="D7" s="0" t="inlineStr">
        <is>
          <t>Periksa seluruh migration production berstatus Ran</t>
        </is>
      </c>
      <c r="E7" s="0" t="inlineStr">
        <is>
          <t>migrations</t>
        </is>
      </c>
      <c r="F7" s="0" t="inlineStr">
        <is>
          <t>Tidak ada migration pending</t>
        </is>
      </c>
      <c r="G7" s="0" t="inlineStr">
        <is>
          <t>Belum Mulai</t>
        </is>
      </c>
      <c r="H7" s="0"/>
      <c r="I7" s="0"/>
      <c r="J7" s="0"/>
      <c r="K7" s="0"/>
      <c r="L7" s="0"/>
      <c r="M7" s="0"/>
    </row>
    <row r="8">
      <c r="A8" s="0" t="inlineStr">
        <is>
          <t>7</t>
        </is>
      </c>
      <c r="B8" s="0" t="inlineStr">
        <is>
          <t>P0</t>
        </is>
      </c>
      <c r="C8" s="0" t="inlineStr">
        <is>
          <t>Migration</t>
        </is>
      </c>
      <c r="D8" s="0" t="inlineStr">
        <is>
          <t>Validasi foreign key, unique key, index, dan sequence PostgreSQL</t>
        </is>
      </c>
      <c r="E8" s="0" t="inlineStr">
        <is>
          <t>Schema public</t>
        </is>
      </c>
      <c r="F8" s="0" t="inlineStr">
        <is>
          <t>Tidak ada constraint/index/sequence yang rusak</t>
        </is>
      </c>
      <c r="G8" s="0" t="inlineStr">
        <is>
          <t>Belum Mulai</t>
        </is>
      </c>
      <c r="H8" s="0"/>
      <c r="I8" s="0"/>
      <c r="J8" s="0"/>
      <c r="K8" s="0"/>
      <c r="L8" s="0"/>
      <c r="M8" s="0"/>
    </row>
    <row r="9">
      <c r="A9" s="0" t="inlineStr">
        <is>
          <t>8</t>
        </is>
      </c>
      <c r="B9" s="0" t="inlineStr">
        <is>
          <t>P0</t>
        </is>
      </c>
      <c r="C9" s="0" t="inlineStr">
        <is>
          <t>Health Check</t>
        </is>
      </c>
      <c r="D9" s="0" t="inlineStr">
        <is>
          <t>Buat dan jalankan command production:database-health</t>
        </is>
      </c>
      <c r="E9" s="0" t="inlineStr">
        <is>
          <t>Seluruh database</t>
        </is>
      </c>
      <c r="F9" s="0" t="inlineStr">
        <is>
          <t>Laporan PASS/WARNING/FAIL tersedia</t>
        </is>
      </c>
      <c r="G9" s="0" t="inlineStr">
        <is>
          <t>Belum Mulai</t>
        </is>
      </c>
      <c r="H9" s="0"/>
      <c r="I9" s="0"/>
      <c r="J9" s="0"/>
      <c r="K9" s="0"/>
      <c r="L9" s="0"/>
      <c r="M9" s="0"/>
    </row>
    <row r="10">
      <c r="A10" s="0" t="inlineStr">
        <is>
          <t>9</t>
        </is>
      </c>
      <c r="B10" s="0" t="inlineStr">
        <is>
          <t>P0</t>
        </is>
      </c>
      <c r="C10" s="0" t="inlineStr">
        <is>
          <t>Health Check</t>
        </is>
      </c>
      <c r="D10" s="0" t="inlineStr">
        <is>
          <t>Periksa user aktif, role, permission, foundation, sekolah, dan employee</t>
        </is>
      </c>
      <c r="E10" s="0" t="inlineStr">
        <is>
          <t>users, roles, permissions, foundations, schools, employees</t>
        </is>
      </c>
      <c r="F10" s="0" t="inlineStr">
        <is>
          <t>Jumlah dan relasi utama tercatat</t>
        </is>
      </c>
      <c r="G10" s="0" t="inlineStr">
        <is>
          <t>Belum Mulai</t>
        </is>
      </c>
      <c r="H10" s="0"/>
      <c r="I10" s="0"/>
      <c r="J10" s="0"/>
      <c r="K10" s="0"/>
      <c r="L10" s="0"/>
      <c r="M10" s="0"/>
    </row>
    <row r="11">
      <c r="A11" s="0" t="inlineStr">
        <is>
          <t>10</t>
        </is>
      </c>
      <c r="B11" s="0" t="inlineStr">
        <is>
          <t>P0</t>
        </is>
      </c>
      <c r="C11" s="0" t="inlineStr">
        <is>
          <t>Health Check</t>
        </is>
      </c>
      <c r="D11" s="0" t="inlineStr">
        <is>
          <t>Periksa data orphan dan duplikasi identitas</t>
        </is>
      </c>
      <c r="E11" s="0" t="inlineStr">
        <is>
          <t>Relasi inti</t>
        </is>
      </c>
      <c r="F11" s="0" t="inlineStr">
        <is>
          <t>Tidak ada orphan/duplikasi tanpa keputusan tertulis</t>
        </is>
      </c>
      <c r="G11" s="0" t="inlineStr">
        <is>
          <t>Belum Mulai</t>
        </is>
      </c>
      <c r="H11" s="0"/>
      <c r="I11" s="0"/>
      <c r="J11" s="0"/>
      <c r="K11" s="0"/>
      <c r="L11" s="0"/>
      <c r="M11" s="0"/>
    </row>
    <row r="12">
      <c r="A12" s="0" t="inlineStr">
        <is>
          <t>11</t>
        </is>
      </c>
      <c r="B12" s="0" t="inlineStr">
        <is>
          <t>P0</t>
        </is>
      </c>
      <c r="C12" s="0" t="inlineStr">
        <is>
          <t>Users &amp; Access</t>
        </is>
      </c>
      <c r="D12" s="0" t="inlineStr">
        <is>
          <t>Validasi user memiliki role yang benar</t>
        </is>
      </c>
      <c r="E12" s="0" t="inlineStr">
        <is>
          <t>users, model_has_roles</t>
        </is>
      </c>
      <c r="F12" s="0" t="inlineStr">
        <is>
          <t>Setiap user production memiliki role valid</t>
        </is>
      </c>
      <c r="G12" s="0" t="inlineStr">
        <is>
          <t>Belum Mulai</t>
        </is>
      </c>
      <c r="H12" s="0"/>
      <c r="I12" s="0"/>
      <c r="J12" s="0"/>
      <c r="K12" s="0"/>
      <c r="L12" s="0"/>
      <c r="M12" s="0"/>
    </row>
    <row r="13">
      <c r="A13" s="0" t="inlineStr">
        <is>
          <t>12</t>
        </is>
      </c>
      <c r="B13" s="0" t="inlineStr">
        <is>
          <t>P0</t>
        </is>
      </c>
      <c r="C13" s="0" t="inlineStr">
        <is>
          <t>Users &amp; Access</t>
        </is>
      </c>
      <c r="D13" s="0" t="inlineStr">
        <is>
          <t>Validasi membership foundation dan sekolah</t>
        </is>
      </c>
      <c r="E13" s="0" t="inlineStr">
        <is>
          <t>memberships</t>
        </is>
      </c>
      <c r="F13" s="0" t="inlineStr">
        <is>
          <t>Tidak ada membership orphan atau scope salah</t>
        </is>
      </c>
      <c r="G13" s="0" t="inlineStr">
        <is>
          <t>Belum Mulai</t>
        </is>
      </c>
      <c r="H13" s="0"/>
      <c r="I13" s="0"/>
      <c r="J13" s="0"/>
      <c r="K13" s="0"/>
      <c r="L13" s="0"/>
      <c r="M13" s="0"/>
    </row>
    <row r="14">
      <c r="A14" s="0" t="inlineStr">
        <is>
          <t>13</t>
        </is>
      </c>
      <c r="B14" s="0" t="inlineStr">
        <is>
          <t>P0</t>
        </is>
      </c>
      <c r="C14" s="0" t="inlineStr">
        <is>
          <t>Users &amp; Access</t>
        </is>
      </c>
      <c r="D14" s="0" t="inlineStr">
        <is>
          <t>Uji scope Admin Induk</t>
        </is>
      </c>
      <c r="E14" s="0" t="inlineStr">
        <is>
          <t>Panel admin</t>
        </is>
      </c>
      <c r="F14" s="0" t="inlineStr">
        <is>
          <t>Admin Induk dapat melihat data sesuai kewenangannya</t>
        </is>
      </c>
      <c r="G14" s="0" t="inlineStr">
        <is>
          <t>Belum Mulai</t>
        </is>
      </c>
      <c r="H14" s="0"/>
      <c r="I14" s="0"/>
      <c r="J14" s="0"/>
      <c r="K14" s="0"/>
      <c r="L14" s="0"/>
      <c r="M14" s="0"/>
    </row>
    <row r="15">
      <c r="A15" s="0" t="inlineStr">
        <is>
          <t>14</t>
        </is>
      </c>
      <c r="B15" s="0" t="inlineStr">
        <is>
          <t>P0</t>
        </is>
      </c>
      <c r="C15" s="0" t="inlineStr">
        <is>
          <t>Users &amp; Access</t>
        </is>
      </c>
      <c r="D15" s="0" t="inlineStr">
        <is>
          <t>Uji scope Admin Sekolah</t>
        </is>
      </c>
      <c r="E15" s="0" t="inlineStr">
        <is>
          <t>Panel sekolah</t>
        </is>
      </c>
      <c r="F15" s="0" t="inlineStr">
        <is>
          <t>Admin Sekolah hanya melihat sekolahnya</t>
        </is>
      </c>
      <c r="G15" s="0" t="inlineStr">
        <is>
          <t>Belum Mulai</t>
        </is>
      </c>
      <c r="H15" s="0"/>
      <c r="I15" s="0"/>
      <c r="J15" s="0"/>
      <c r="K15" s="0"/>
      <c r="L15" s="0"/>
      <c r="M15" s="0"/>
    </row>
    <row r="16">
      <c r="A16" s="0" t="inlineStr">
        <is>
          <t>15</t>
        </is>
      </c>
      <c r="B16" s="0" t="inlineStr">
        <is>
          <t>P0</t>
        </is>
      </c>
      <c r="C16" s="0" t="inlineStr">
        <is>
          <t>Users &amp; Access</t>
        </is>
      </c>
      <c r="D16" s="0" t="inlineStr">
        <is>
          <t>Uji scope Guru/Pegawai</t>
        </is>
      </c>
      <c r="E16" s="0" t="inlineStr">
        <is>
          <t>Panel aplikasi</t>
        </is>
      </c>
      <c r="F16" s="0" t="inlineStr">
        <is>
          <t>Guru/Pegawai hanya melihat data miliknya</t>
        </is>
      </c>
      <c r="G16" s="0" t="inlineStr">
        <is>
          <t>Belum Mulai</t>
        </is>
      </c>
      <c r="H16" s="0"/>
      <c r="I16" s="0"/>
      <c r="J16" s="0"/>
      <c r="K16" s="0"/>
      <c r="L16" s="0"/>
      <c r="M16" s="0"/>
    </row>
    <row r="17">
      <c r="A17" s="0" t="inlineStr">
        <is>
          <t>16</t>
        </is>
      </c>
      <c r="B17" s="0" t="inlineStr">
        <is>
          <t>P0</t>
        </is>
      </c>
      <c r="C17" s="0" t="inlineStr">
        <is>
          <t>Users &amp; Access</t>
        </is>
      </c>
      <c r="D17" s="0" t="inlineStr">
        <is>
          <t>Uji user nonaktif dan user tanpa sekolah</t>
        </is>
      </c>
      <c r="E17" s="0" t="inlineStr">
        <is>
          <t>users, employees</t>
        </is>
      </c>
      <c r="F17" s="0" t="inlineStr">
        <is>
          <t>Akses dan pesan error sesuai aturan bisnis</t>
        </is>
      </c>
      <c r="G17" s="0" t="inlineStr">
        <is>
          <t>Belum Mulai</t>
        </is>
      </c>
      <c r="H17" s="0"/>
      <c r="I17" s="0"/>
      <c r="J17" s="0"/>
      <c r="K17" s="0"/>
      <c r="L17" s="0"/>
      <c r="M17" s="0"/>
    </row>
    <row r="18">
      <c r="A18" s="0" t="inlineStr">
        <is>
          <t>17</t>
        </is>
      </c>
      <c r="B18" s="0" t="inlineStr">
        <is>
          <t>P0</t>
        </is>
      </c>
      <c r="C18" s="0" t="inlineStr">
        <is>
          <t>Schools</t>
        </is>
      </c>
      <c r="D18" s="0" t="inlineStr">
        <is>
          <t>Rekonsiliasi identitas sekolah dari kelas, user, sarpras, dan updatesipinter</t>
        </is>
      </c>
      <c r="E18" s="0" t="inlineStr">
        <is>
          <t>schools</t>
        </is>
      </c>
      <c r="F18" s="0" t="inlineStr">
        <is>
          <t>Tidak ada duplikasi sekolah</t>
        </is>
      </c>
      <c r="G18" s="0" t="inlineStr">
        <is>
          <t>Belum Mulai</t>
        </is>
      </c>
      <c r="H18" s="0"/>
      <c r="I18" s="0"/>
      <c r="J18" s="0"/>
      <c r="K18" s="0"/>
      <c r="L18" s="0"/>
      <c r="M18" s="0"/>
    </row>
    <row r="19">
      <c r="A19" s="0" t="inlineStr">
        <is>
          <t>18</t>
        </is>
      </c>
      <c r="B19" s="0" t="inlineStr">
        <is>
          <t>P0</t>
        </is>
      </c>
      <c r="C19" s="0" t="inlineStr">
        <is>
          <t>Schools</t>
        </is>
      </c>
      <c r="D19" s="0" t="inlineStr">
        <is>
          <t>Validasi NPSN 8 digit dan duplikasi NPSN</t>
        </is>
      </c>
      <c r="E19" s="0" t="inlineStr">
        <is>
          <t>schools</t>
        </is>
      </c>
      <c r="F19" s="0" t="inlineStr">
        <is>
          <t>NPSN valid atau NULL dengan alasan</t>
        </is>
      </c>
      <c r="G19" s="0" t="inlineStr">
        <is>
          <t>Belum Mulai</t>
        </is>
      </c>
      <c r="H19" s="0"/>
      <c r="I19" s="0"/>
      <c r="J19" s="0"/>
      <c r="K19" s="0"/>
      <c r="L19" s="0"/>
      <c r="M19" s="0"/>
    </row>
    <row r="20">
      <c r="A20" s="0" t="inlineStr">
        <is>
          <t>19</t>
        </is>
      </c>
      <c r="B20" s="0" t="inlineStr">
        <is>
          <t>P0</t>
        </is>
      </c>
      <c r="C20" s="0" t="inlineStr">
        <is>
          <t>Schools</t>
        </is>
      </c>
      <c r="D20" s="0" t="inlineStr">
        <is>
          <t>Validasi admin sekolah terhubung ke sekolah yang benar</t>
        </is>
      </c>
      <c r="E20" s="0" t="inlineStr">
        <is>
          <t>memberships, users, schools</t>
        </is>
      </c>
      <c r="F20" s="0" t="inlineStr">
        <is>
          <t>Setiap admin sekolah memiliki satu membership aktif</t>
        </is>
      </c>
      <c r="G20" s="0" t="inlineStr">
        <is>
          <t>Belum Mulai</t>
        </is>
      </c>
      <c r="H20" s="0"/>
      <c r="I20" s="0"/>
      <c r="J20" s="0"/>
      <c r="K20" s="0"/>
      <c r="L20" s="0"/>
      <c r="M20" s="0"/>
    </row>
    <row r="21">
      <c r="A21" s="0" t="inlineStr">
        <is>
          <t>20</t>
        </is>
      </c>
      <c r="B21" s="0" t="inlineStr">
        <is>
          <t>P0</t>
        </is>
      </c>
      <c r="C21" s="0" t="inlineStr">
        <is>
          <t>Schools</t>
        </is>
      </c>
      <c r="D21" s="0" t="inlineStr">
        <is>
          <t>Validasi kepala sekolah dan profil sekolah</t>
        </is>
      </c>
      <c r="E21" s="0" t="inlineStr">
        <is>
          <t>school_heads, schools</t>
        </is>
      </c>
      <c r="F21" s="0" t="inlineStr">
        <is>
          <t>Relasi kepala sekolah dan atribut profil benar</t>
        </is>
      </c>
      <c r="G21" s="0" t="inlineStr">
        <is>
          <t>Belum Mulai</t>
        </is>
      </c>
      <c r="H21" s="0"/>
      <c r="I21" s="0"/>
      <c r="J21" s="0"/>
      <c r="K21" s="0"/>
      <c r="L21" s="0"/>
      <c r="M21" s="0"/>
    </row>
    <row r="22">
      <c r="A22" s="0" t="inlineStr">
        <is>
          <t>21</t>
        </is>
      </c>
      <c r="B22" s="0" t="inlineStr">
        <is>
          <t>P0</t>
        </is>
      </c>
      <c r="C22" s="0" t="inlineStr">
        <is>
          <t>Employees</t>
        </is>
      </c>
      <c r="D22" s="0" t="inlineStr">
        <is>
          <t>Validasi employee terhubung ke user</t>
        </is>
      </c>
      <c r="E22" s="0" t="inlineStr">
        <is>
          <t>employees, users</t>
        </is>
      </c>
      <c r="F22" s="0" t="inlineStr">
        <is>
          <t>Tidak ada employee orphan tanpa alasan</t>
        </is>
      </c>
      <c r="G22" s="0" t="inlineStr">
        <is>
          <t>Belum Mulai</t>
        </is>
      </c>
      <c r="H22" s="0"/>
      <c r="I22" s="0"/>
      <c r="J22" s="0"/>
      <c r="K22" s="0"/>
      <c r="L22" s="0"/>
      <c r="M22" s="0"/>
    </row>
    <row r="23">
      <c r="A23" s="0" t="inlineStr">
        <is>
          <t>22</t>
        </is>
      </c>
      <c r="B23" s="0" t="inlineStr">
        <is>
          <t>P0</t>
        </is>
      </c>
      <c r="C23" s="0" t="inlineStr">
        <is>
          <t>Employees</t>
        </is>
      </c>
      <c r="D23" s="0" t="inlineStr">
        <is>
          <t>Validasi kode pegawai, NIK, NIP, NUPTK</t>
        </is>
      </c>
      <c r="E23" s="0" t="inlineStr">
        <is>
          <t>employees</t>
        </is>
      </c>
      <c r="F23" s="0" t="inlineStr">
        <is>
          <t>Tidak ada duplikasi dan string kosong diperlakukan sebagai NULL</t>
        </is>
      </c>
      <c r="G23" s="0" t="inlineStr">
        <is>
          <t>Belum Mulai</t>
        </is>
      </c>
      <c r="H23" s="0"/>
      <c r="I23" s="0"/>
      <c r="J23" s="0"/>
      <c r="K23" s="0"/>
      <c r="L23" s="0"/>
      <c r="M23" s="0"/>
    </row>
    <row r="24">
      <c r="A24" s="0" t="inlineStr">
        <is>
          <t>23</t>
        </is>
      </c>
      <c r="B24" s="0" t="inlineStr">
        <is>
          <t>P0</t>
        </is>
      </c>
      <c r="C24" s="0" t="inlineStr">
        <is>
          <t>Employees</t>
        </is>
      </c>
      <c r="D24" s="0" t="inlineStr">
        <is>
          <t>Validasi assignment aktif dan posisi pegawai</t>
        </is>
      </c>
      <c r="E24" s="0" t="inlineStr">
        <is>
          <t>employee_assignments, employee_positions</t>
        </is>
      </c>
      <c r="F24" s="0" t="inlineStr">
        <is>
          <t>Assignment dan posisi aktif sesuai data production</t>
        </is>
      </c>
      <c r="G24" s="0" t="inlineStr">
        <is>
          <t>Belum Mulai</t>
        </is>
      </c>
      <c r="H24" s="0"/>
      <c r="I24" s="0"/>
      <c r="J24" s="0"/>
      <c r="K24" s="0"/>
      <c r="L24" s="0"/>
      <c r="M24" s="0"/>
    </row>
    <row r="25">
      <c r="A25" s="0" t="inlineStr">
        <is>
          <t>24</t>
        </is>
      </c>
      <c r="B25" s="0" t="inlineStr">
        <is>
          <t>P0</t>
        </is>
      </c>
      <c r="C25" s="0" t="inlineStr">
        <is>
          <t>Employees</t>
        </is>
      </c>
      <c r="D25" s="0" t="inlineStr">
        <is>
          <t>Validasi status aktif/nonaktif user dan employee</t>
        </is>
      </c>
      <c r="E25" s="0" t="inlineStr">
        <is>
          <t>users, employees</t>
        </is>
      </c>
      <c r="F25" s="0" t="inlineStr">
        <is>
          <t>Status konsisten</t>
        </is>
      </c>
      <c r="G25" s="0" t="inlineStr">
        <is>
          <t>Belum Mulai</t>
        </is>
      </c>
      <c r="H25" s="0"/>
      <c r="I25" s="0"/>
      <c r="J25" s="0"/>
      <c r="K25" s="0"/>
      <c r="L25" s="0"/>
      <c r="M25" s="0"/>
    </row>
    <row r="26">
      <c r="A26" s="0" t="inlineStr">
        <is>
          <t>25</t>
        </is>
      </c>
      <c r="B26" s="0" t="inlineStr">
        <is>
          <t>P1</t>
        </is>
      </c>
      <c r="C26" s="0" t="inlineStr">
        <is>
          <t>Resources</t>
        </is>
      </c>
      <c r="D26" s="0" t="inlineStr">
        <is>
          <t>Audit seluruh resource Filament terhadap model database</t>
        </is>
      </c>
      <c r="E26" s="0" t="inlineStr">
        <is>
          <t>app/Filament/Resources</t>
        </is>
      </c>
      <c r="F26" s="0" t="inlineStr">
        <is>
          <t>Setiap resource memakai model dan query yang benar</t>
        </is>
      </c>
      <c r="G26" s="0" t="inlineStr">
        <is>
          <t>Belum Mulai</t>
        </is>
      </c>
      <c r="H26" s="0"/>
      <c r="I26" s="0"/>
      <c r="J26" s="0"/>
      <c r="K26" s="0"/>
      <c r="L26" s="0"/>
      <c r="M26" s="0"/>
    </row>
    <row r="27">
      <c r="A27" s="0" t="inlineStr">
        <is>
          <t>26</t>
        </is>
      </c>
      <c r="B27" s="0" t="inlineStr">
        <is>
          <t>P1</t>
        </is>
      </c>
      <c r="C27" s="0" t="inlineStr">
        <is>
          <t>Resources</t>
        </is>
      </c>
      <c r="D27" s="0" t="inlineStr">
        <is>
          <t>Uji create pada resource prioritas</t>
        </is>
      </c>
      <c r="E27" s="0" t="inlineStr">
        <is>
          <t>Resources utama</t>
        </is>
      </c>
      <c r="F27" s="0" t="inlineStr">
        <is>
          <t>Record tersimpan ke database production</t>
        </is>
      </c>
      <c r="G27" s="0" t="inlineStr">
        <is>
          <t>Belum Mulai</t>
        </is>
      </c>
      <c r="H27" s="0"/>
      <c r="I27" s="0"/>
      <c r="J27" s="0"/>
      <c r="K27" s="0"/>
      <c r="L27" s="0"/>
      <c r="M27" s="0"/>
    </row>
    <row r="28">
      <c r="A28" s="0" t="inlineStr">
        <is>
          <t>27</t>
        </is>
      </c>
      <c r="B28" s="0" t="inlineStr">
        <is>
          <t>P1</t>
        </is>
      </c>
      <c r="C28" s="0" t="inlineStr">
        <is>
          <t>Resources</t>
        </is>
      </c>
      <c r="D28" s="0" t="inlineStr">
        <is>
          <t>Uji edit pada resource prioritas</t>
        </is>
      </c>
      <c r="E28" s="0" t="inlineStr">
        <is>
          <t>Resources utama</t>
        </is>
      </c>
      <c r="F28" s="0" t="inlineStr">
        <is>
          <t>Perubahan tersimpan dan audit tercatat</t>
        </is>
      </c>
      <c r="G28" s="0" t="inlineStr">
        <is>
          <t>Belum Mulai</t>
        </is>
      </c>
      <c r="H28" s="0"/>
      <c r="I28" s="0"/>
      <c r="J28" s="0"/>
      <c r="K28" s="0"/>
      <c r="L28" s="0"/>
      <c r="M28" s="0"/>
    </row>
    <row r="29">
      <c r="A29" s="0" t="inlineStr">
        <is>
          <t>28</t>
        </is>
      </c>
      <c r="B29" s="0" t="inlineStr">
        <is>
          <t>P1</t>
        </is>
      </c>
      <c r="C29" s="0" t="inlineStr">
        <is>
          <t>Resources</t>
        </is>
      </c>
      <c r="D29" s="0" t="inlineStr">
        <is>
          <t>Uji delete/restore sesuai aturan soft delete</t>
        </is>
      </c>
      <c r="E29" s="0" t="inlineStr">
        <is>
          <t>Resources utama</t>
        </is>
      </c>
      <c r="F29" s="0" t="inlineStr">
        <is>
          <t>Data tidak hilang tanpa prosedur</t>
        </is>
      </c>
      <c r="G29" s="0" t="inlineStr">
        <is>
          <t>Belum Mulai</t>
        </is>
      </c>
      <c r="H29" s="0"/>
      <c r="I29" s="0"/>
      <c r="J29" s="0"/>
      <c r="K29" s="0"/>
      <c r="L29" s="0"/>
      <c r="M29" s="0"/>
    </row>
    <row r="30">
      <c r="A30" s="0" t="inlineStr">
        <is>
          <t>29</t>
        </is>
      </c>
      <c r="B30" s="0" t="inlineStr">
        <is>
          <t>P1</t>
        </is>
      </c>
      <c r="C30" s="0" t="inlineStr">
        <is>
          <t>Resources</t>
        </is>
      </c>
      <c r="D30" s="0" t="inlineStr">
        <is>
          <t>Validasi unique dan required terhadap data production</t>
        </is>
      </c>
      <c r="E30" s="0" t="inlineStr">
        <is>
          <t>Forms</t>
        </is>
      </c>
      <c r="F30" s="0" t="inlineStr">
        <is>
          <t>Pesan validasi benar dan tidak menimbulkan duplikasi</t>
        </is>
      </c>
      <c r="G30" s="0" t="inlineStr">
        <is>
          <t>Belum Mulai</t>
        </is>
      </c>
      <c r="H30" s="0"/>
      <c r="I30" s="0"/>
      <c r="J30" s="0"/>
      <c r="K30" s="0"/>
      <c r="L30" s="0"/>
      <c r="M30" s="0"/>
    </row>
    <row r="31">
      <c r="A31" s="0" t="inlineStr">
        <is>
          <t>30</t>
        </is>
      </c>
      <c r="B31" s="0" t="inlineStr">
        <is>
          <t>P1</t>
        </is>
      </c>
      <c r="C31" s="0" t="inlineStr">
        <is>
          <t>Dashboard</t>
        </is>
      </c>
      <c r="D31" s="0" t="inlineStr">
        <is>
          <t>Rekonsiliasi angka dashboard admin</t>
        </is>
      </c>
      <c r="E31" s="0" t="inlineStr">
        <is>
          <t>Dashboard Admin</t>
        </is>
      </c>
      <c r="F31" s="0" t="inlineStr">
        <is>
          <t>Angka dashboard sama dengan query sumber</t>
        </is>
      </c>
      <c r="G31" s="0" t="inlineStr">
        <is>
          <t>Belum Mulai</t>
        </is>
      </c>
      <c r="H31" s="0"/>
      <c r="I31" s="0"/>
      <c r="J31" s="0"/>
      <c r="K31" s="0"/>
      <c r="L31" s="0"/>
      <c r="M31" s="0"/>
    </row>
    <row r="32">
      <c r="A32" s="0" t="inlineStr">
        <is>
          <t>31</t>
        </is>
      </c>
      <c r="B32" s="0" t="inlineStr">
        <is>
          <t>P1</t>
        </is>
      </c>
      <c r="C32" s="0" t="inlineStr">
        <is>
          <t>Dashboard</t>
        </is>
      </c>
      <c r="D32" s="0" t="inlineStr">
        <is>
          <t>Rekonsiliasi dashboard sekolah</t>
        </is>
      </c>
      <c r="E32" s="0" t="inlineStr">
        <is>
          <t>Dashboard Sekolah</t>
        </is>
      </c>
      <c r="F32" s="0" t="inlineStr">
        <is>
          <t>Angka hanya berasal dari sekolah yang sesuai</t>
        </is>
      </c>
      <c r="G32" s="0" t="inlineStr">
        <is>
          <t>Belum Mulai</t>
        </is>
      </c>
      <c r="H32" s="0"/>
      <c r="I32" s="0"/>
      <c r="J32" s="0"/>
      <c r="K32" s="0"/>
      <c r="L32" s="0"/>
      <c r="M32" s="0"/>
    </row>
    <row r="33">
      <c r="A33" s="0" t="inlineStr">
        <is>
          <t>32</t>
        </is>
      </c>
      <c r="B33" s="0" t="inlineStr">
        <is>
          <t>P1</t>
        </is>
      </c>
      <c r="C33" s="0" t="inlineStr">
        <is>
          <t>Dashboard</t>
        </is>
      </c>
      <c r="D33" s="0" t="inlineStr">
        <is>
          <t>Rekonsiliasi dashboard presensi</t>
        </is>
      </c>
      <c r="E33" s="0" t="inlineStr">
        <is>
          <t>Attendance dashboard</t>
        </is>
      </c>
      <c r="F33" s="0" t="inlineStr">
        <is>
          <t>Total hadir, terlambat, izin, ditolak konsisten</t>
        </is>
      </c>
      <c r="G33" s="0" t="inlineStr">
        <is>
          <t>Belum Mulai</t>
        </is>
      </c>
      <c r="H33" s="0"/>
      <c r="I33" s="0"/>
      <c r="J33" s="0"/>
      <c r="K33" s="0"/>
      <c r="L33" s="0"/>
      <c r="M33" s="0"/>
    </row>
    <row r="34">
      <c r="A34" s="0" t="inlineStr">
        <is>
          <t>33</t>
        </is>
      </c>
      <c r="B34" s="0" t="inlineStr">
        <is>
          <t>P1</t>
        </is>
      </c>
      <c r="C34" s="0" t="inlineStr">
        <is>
          <t>Academic</t>
        </is>
      </c>
      <c r="D34" s="0" t="inlineStr">
        <is>
          <t>Validasi tahun ajaran aktif dan uniqueness</t>
        </is>
      </c>
      <c r="E34" s="0" t="inlineStr">
        <is>
          <t>academic_years</t>
        </is>
      </c>
      <c r="F34" s="0" t="inlineStr">
        <is>
          <t>Hanya tahun ajaran yang benar yang aktif</t>
        </is>
      </c>
      <c r="G34" s="0" t="inlineStr">
        <is>
          <t>Belum Mulai</t>
        </is>
      </c>
      <c r="H34" s="0"/>
      <c r="I34" s="0"/>
      <c r="J34" s="0"/>
      <c r="K34" s="0"/>
      <c r="L34" s="0"/>
      <c r="M34" s="0"/>
    </row>
    <row r="35">
      <c r="A35" s="0" t="inlineStr">
        <is>
          <t>34</t>
        </is>
      </c>
      <c r="B35" s="0" t="inlineStr">
        <is>
          <t>P1</t>
        </is>
      </c>
      <c r="C35" s="0" t="inlineStr">
        <is>
          <t>Students</t>
        </is>
      </c>
      <c r="D35" s="0" t="inlineStr">
        <is>
          <t>Validasi rekap siswa per sekolah dan tahun ajaran</t>
        </is>
      </c>
      <c r="E35" s="0" t="inlineStr">
        <is>
          <t>student_enrollments</t>
        </is>
      </c>
      <c r="F35" s="0" t="inlineStr">
        <is>
          <t>Unik per school_id dan academic_year</t>
        </is>
      </c>
      <c r="G35" s="0" t="inlineStr">
        <is>
          <t>Belum Mulai</t>
        </is>
      </c>
      <c r="H35" s="0"/>
      <c r="I35" s="0"/>
      <c r="J35" s="0"/>
      <c r="K35" s="0"/>
      <c r="L35" s="0"/>
      <c r="M35" s="0"/>
    </row>
    <row r="36">
      <c r="A36" s="0" t="inlineStr">
        <is>
          <t>35</t>
        </is>
      </c>
      <c r="B36" s="0" t="inlineStr">
        <is>
          <t>P1</t>
        </is>
      </c>
      <c r="C36" s="0" t="inlineStr">
        <is>
          <t>Educators</t>
        </is>
      </c>
      <c r="D36" s="0" t="inlineStr">
        <is>
          <t>Validasi rekap tenaga pendidik</t>
        </is>
      </c>
      <c r="E36" s="0" t="inlineStr">
        <is>
          <t>educator_recaps</t>
        </is>
      </c>
      <c r="F36" s="0" t="inlineStr">
        <is>
          <t>Total kategori sama dengan total tenaga</t>
        </is>
      </c>
      <c r="G36" s="0" t="inlineStr">
        <is>
          <t>Belum Mulai</t>
        </is>
      </c>
      <c r="H36" s="0"/>
      <c r="I36" s="0"/>
      <c r="J36" s="0"/>
      <c r="K36" s="0"/>
      <c r="L36" s="0"/>
      <c r="M36" s="0"/>
    </row>
    <row r="37">
      <c r="A37" s="0" t="inlineStr">
        <is>
          <t>36</t>
        </is>
      </c>
      <c r="B37" s="0" t="inlineStr">
        <is>
          <t>P1</t>
        </is>
      </c>
      <c r="C37" s="0" t="inlineStr">
        <is>
          <t>Attendance</t>
        </is>
      </c>
      <c r="D37" s="0" t="inlineStr">
        <is>
          <t>Validasi settings presensi per sekolah</t>
        </is>
      </c>
      <c r="E37" s="0" t="inlineStr">
        <is>
          <t>attendance_settings</t>
        </is>
      </c>
      <c r="F37" s="0" t="inlineStr">
        <is>
          <t>Satu konfigurasi aktif per sekolah</t>
        </is>
      </c>
      <c r="G37" s="0" t="inlineStr">
        <is>
          <t>Belum Mulai</t>
        </is>
      </c>
      <c r="H37" s="0"/>
      <c r="I37" s="0"/>
      <c r="J37" s="0"/>
      <c r="K37" s="0"/>
      <c r="L37" s="0"/>
      <c r="M37" s="0"/>
    </row>
    <row r="38">
      <c r="A38" s="0" t="inlineStr">
        <is>
          <t>37</t>
        </is>
      </c>
      <c r="B38" s="0" t="inlineStr">
        <is>
          <t>P1</t>
        </is>
      </c>
      <c r="C38" s="0" t="inlineStr">
        <is>
          <t>Attendance</t>
        </is>
      </c>
      <c r="D38" s="0" t="inlineStr">
        <is>
          <t>Validasi satu record presensi per employee dan tanggal</t>
        </is>
      </c>
      <c r="E38" s="0" t="inlineStr">
        <is>
          <t>attendance_records</t>
        </is>
      </c>
      <c r="F38" s="0" t="inlineStr">
        <is>
          <t>Tidak ada duplicate attendance harian</t>
        </is>
      </c>
      <c r="G38" s="0" t="inlineStr">
        <is>
          <t>Belum Mulai</t>
        </is>
      </c>
      <c r="H38" s="0"/>
      <c r="I38" s="0"/>
      <c r="J38" s="0"/>
      <c r="K38" s="0"/>
      <c r="L38" s="0"/>
      <c r="M38" s="0"/>
    </row>
    <row r="39">
      <c r="A39" s="0" t="inlineStr">
        <is>
          <t>38</t>
        </is>
      </c>
      <c r="B39" s="0" t="inlineStr">
        <is>
          <t>P1</t>
        </is>
      </c>
      <c r="C39" s="0" t="inlineStr">
        <is>
          <t>Attendance</t>
        </is>
      </c>
      <c r="D39" s="0" t="inlineStr">
        <is>
          <t>Validasi event mentah masuk/pulang</t>
        </is>
      </c>
      <c r="E39" s="0" t="inlineStr">
        <is>
          <t>attendance_events</t>
        </is>
      </c>
      <c r="F39" s="0" t="inlineStr">
        <is>
          <t>Event check-in/check-out dapat ditelusuri</t>
        </is>
      </c>
      <c r="G39" s="0" t="inlineStr">
        <is>
          <t>Belum Mulai</t>
        </is>
      </c>
      <c r="H39" s="0"/>
      <c r="I39" s="0"/>
      <c r="J39" s="0"/>
      <c r="K39" s="0"/>
      <c r="L39" s="0"/>
      <c r="M39" s="0"/>
    </row>
    <row r="40">
      <c r="A40" s="0" t="inlineStr">
        <is>
          <t>39</t>
        </is>
      </c>
      <c r="B40" s="0" t="inlineStr">
        <is>
          <t>P1</t>
        </is>
      </c>
      <c r="C40" s="0" t="inlineStr">
        <is>
          <t>Attendance</t>
        </is>
      </c>
      <c r="D40" s="0" t="inlineStr">
        <is>
          <t>Uji GPS, geofence, fake GPS, dan rejected attempt</t>
        </is>
      </c>
      <c r="E40" s="0" t="inlineStr">
        <is>
          <t>Attendance services</t>
        </is>
      </c>
      <c r="F40" s="0" t="inlineStr">
        <is>
          <t>Validasi lokasi dan penolakan berjalan benar</t>
        </is>
      </c>
      <c r="G40" s="0" t="inlineStr">
        <is>
          <t>Belum Mulai</t>
        </is>
      </c>
      <c r="H40" s="0"/>
      <c r="I40" s="0"/>
      <c r="J40" s="0"/>
      <c r="K40" s="0"/>
      <c r="L40" s="0"/>
      <c r="M40" s="0"/>
    </row>
    <row r="41">
      <c r="A41" s="0" t="inlineStr">
        <is>
          <t>40</t>
        </is>
      </c>
      <c r="B41" s="0" t="inlineStr">
        <is>
          <t>P1</t>
        </is>
      </c>
      <c r="C41" s="0" t="inlineStr">
        <is>
          <t>Attendance</t>
        </is>
      </c>
      <c r="D41" s="0" t="inlineStr">
        <is>
          <t>Uji pengajuan dan persetujuan izin</t>
        </is>
      </c>
      <c r="E41" s="0" t="inlineStr">
        <is>
          <t>attendance_leave_requests</t>
        </is>
      </c>
      <c r="F41" s="0" t="inlineStr">
        <is>
          <t>Status izin dan dampaknya pada rekap benar</t>
        </is>
      </c>
      <c r="G41" s="0" t="inlineStr">
        <is>
          <t>Belum Mulai</t>
        </is>
      </c>
      <c r="H41" s="0"/>
      <c r="I41" s="0"/>
      <c r="J41" s="0"/>
      <c r="K41" s="0"/>
      <c r="L41" s="0"/>
      <c r="M41" s="0"/>
    </row>
    <row r="42">
      <c r="A42" s="0" t="inlineStr">
        <is>
          <t>41</t>
        </is>
      </c>
      <c r="B42" s="0" t="inlineStr">
        <is>
          <t>P1</t>
        </is>
      </c>
      <c r="C42" s="0" t="inlineStr">
        <is>
          <t>Finance</t>
        </is>
      </c>
      <c r="D42" s="0" t="inlineStr">
        <is>
          <t>Validasi invoice memiliki user, foundation, sekolah, tahun ajaran, dan payment type</t>
        </is>
      </c>
      <c r="E42" s="0" t="inlineStr">
        <is>
          <t>payment_invoices</t>
        </is>
      </c>
      <c r="F42" s="0" t="inlineStr">
        <is>
          <t>Tidak ada invoice orphan</t>
        </is>
      </c>
      <c r="G42" s="0" t="inlineStr">
        <is>
          <t>Belum Mulai</t>
        </is>
      </c>
      <c r="H42" s="0"/>
      <c r="I42" s="0"/>
      <c r="J42" s="0"/>
      <c r="K42" s="0"/>
      <c r="L42" s="0"/>
      <c r="M42" s="0"/>
    </row>
    <row r="43">
      <c r="A43" s="0" t="inlineStr">
        <is>
          <t>42</t>
        </is>
      </c>
      <c r="B43" s="0" t="inlineStr">
        <is>
          <t>P1</t>
        </is>
      </c>
      <c r="C43" s="0" t="inlineStr">
        <is>
          <t>Finance</t>
        </is>
      </c>
      <c r="D43" s="0" t="inlineStr">
        <is>
          <t>Validasi nomor invoice dan kombinasi invoice unik</t>
        </is>
      </c>
      <c r="E43" s="0" t="inlineStr">
        <is>
          <t>payment_invoices</t>
        </is>
      </c>
      <c r="F43" s="0" t="inlineStr">
        <is>
          <t>Tidak ada invoice ganda</t>
        </is>
      </c>
      <c r="G43" s="0" t="inlineStr">
        <is>
          <t>Belum Mulai</t>
        </is>
      </c>
      <c r="H43" s="0"/>
      <c r="I43" s="0"/>
      <c r="J43" s="0"/>
      <c r="K43" s="0"/>
      <c r="L43" s="0"/>
      <c r="M43" s="0"/>
    </row>
    <row r="44">
      <c r="A44" s="0" t="inlineStr">
        <is>
          <t>43</t>
        </is>
      </c>
      <c r="B44" s="0" t="inlineStr">
        <is>
          <t>P1</t>
        </is>
      </c>
      <c r="C44" s="0" t="inlineStr">
        <is>
          <t>Finance</t>
        </is>
      </c>
      <c r="D44" s="0" t="inlineStr">
        <is>
          <t>Validasi status invoice, paid_at, dan nominal</t>
        </is>
      </c>
      <c r="E44" s="0" t="inlineStr">
        <is>
          <t>payment_invoices</t>
        </is>
      </c>
      <c r="F44" s="0" t="inlineStr">
        <is>
          <t>Status dan nominal sesuai histori transaksi</t>
        </is>
      </c>
      <c r="G44" s="0" t="inlineStr">
        <is>
          <t>Belum Mulai</t>
        </is>
      </c>
      <c r="H44" s="0"/>
      <c r="I44" s="0"/>
      <c r="J44" s="0"/>
      <c r="K44" s="0"/>
      <c r="L44" s="0"/>
      <c r="M44" s="0"/>
    </row>
    <row r="45">
      <c r="A45" s="0" t="inlineStr">
        <is>
          <t>44</t>
        </is>
      </c>
      <c r="B45" s="0" t="inlineStr">
        <is>
          <t>P1</t>
        </is>
      </c>
      <c r="C45" s="0" t="inlineStr">
        <is>
          <t>Finance</t>
        </is>
      </c>
      <c r="D45" s="0" t="inlineStr">
        <is>
          <t>Rekonsiliasi payment_transactions dan midtrans_transactions</t>
        </is>
      </c>
      <c r="E45" s="0" t="inlineStr">
        <is>
          <t>payment_transactions, midtrans_transactions</t>
        </is>
      </c>
      <c r="F45" s="0" t="inlineStr">
        <is>
          <t>Satu sumber status pembayaran ditetapkan</t>
        </is>
      </c>
      <c r="G45" s="0" t="inlineStr">
        <is>
          <t>Belum Mulai</t>
        </is>
      </c>
      <c r="H45" s="0"/>
      <c r="I45" s="0"/>
      <c r="J45" s="0"/>
      <c r="K45" s="0"/>
      <c r="L45" s="0"/>
      <c r="M45" s="0"/>
    </row>
    <row r="46">
      <c r="A46" s="0" t="inlineStr">
        <is>
          <t>45</t>
        </is>
      </c>
      <c r="B46" s="0" t="inlineStr">
        <is>
          <t>P1</t>
        </is>
      </c>
      <c r="C46" s="0" t="inlineStr">
        <is>
          <t>Finance</t>
        </is>
      </c>
      <c r="D46" s="0" t="inlineStr">
        <is>
          <t>Uji pembayaran sukses, pending, gagal, expired, dan callback berulang</t>
        </is>
      </c>
      <c r="E46" s="0" t="inlineStr">
        <is>
          <t>Payment flow</t>
        </is>
      </c>
      <c r="F46" s="0" t="inlineStr">
        <is>
          <t>Callback idempotent dan aman</t>
        </is>
      </c>
      <c r="G46" s="0" t="inlineStr">
        <is>
          <t>Belum Mulai</t>
        </is>
      </c>
      <c r="H46" s="0"/>
      <c r="I46" s="0"/>
      <c r="J46" s="0"/>
      <c r="K46" s="0"/>
      <c r="L46" s="0"/>
      <c r="M46" s="0"/>
    </row>
    <row r="47">
      <c r="A47" s="0" t="inlineStr">
        <is>
          <t>46</t>
        </is>
      </c>
      <c r="B47" s="0" t="inlineStr">
        <is>
          <t>P1</t>
        </is>
      </c>
      <c r="C47" s="0" t="inlineStr">
        <is>
          <t>Treasury</t>
        </is>
      </c>
      <c r="D47" s="0" t="inlineStr">
        <is>
          <t>Validasi transaksi pemasukan dan pengeluaran</t>
        </is>
      </c>
      <c r="E47" s="0" t="inlineStr">
        <is>
          <t>treasury_transactions</t>
        </is>
      </c>
      <c r="F47" s="0" t="inlineStr">
        <is>
          <t>Arah transaksi, nominal, kategori, dan foundation benar</t>
        </is>
      </c>
      <c r="G47" s="0" t="inlineStr">
        <is>
          <t>Belum Mulai</t>
        </is>
      </c>
      <c r="H47" s="0"/>
      <c r="I47" s="0"/>
      <c r="J47" s="0"/>
      <c r="K47" s="0"/>
      <c r="L47" s="0"/>
      <c r="M47" s="0"/>
    </row>
    <row r="48">
      <c r="A48" s="0" t="inlineStr">
        <is>
          <t>47</t>
        </is>
      </c>
      <c r="B48" s="0" t="inlineStr">
        <is>
          <t>P1</t>
        </is>
      </c>
      <c r="C48" s="0" t="inlineStr">
        <is>
          <t>Decree</t>
        </is>
      </c>
      <c r="D48" s="0" t="inlineStr">
        <is>
          <t>Validasi proposal SK dan submission workflow</t>
        </is>
      </c>
      <c r="E48" s="0" t="inlineStr">
        <is>
          <t>decree_proposals, decree_submissions</t>
        </is>
      </c>
      <c r="F48" s="0" t="inlineStr">
        <is>
          <t>Status dan actor workflow dapat ditelusuri</t>
        </is>
      </c>
      <c r="G48" s="0" t="inlineStr">
        <is>
          <t>Belum Mulai</t>
        </is>
      </c>
      <c r="H48" s="0"/>
      <c r="I48" s="0"/>
      <c r="J48" s="0"/>
      <c r="K48" s="0"/>
      <c r="L48" s="0"/>
      <c r="M48" s="0"/>
    </row>
    <row r="49">
      <c r="A49" s="0" t="inlineStr">
        <is>
          <t>48</t>
        </is>
      </c>
      <c r="B49" s="0" t="inlineStr">
        <is>
          <t>P1</t>
        </is>
      </c>
      <c r="C49" s="0" t="inlineStr">
        <is>
          <t>Decree</t>
        </is>
      </c>
      <c r="D49" s="0" t="inlineStr">
        <is>
          <t>Validasi nomor SK dan dokumen hasil</t>
        </is>
      </c>
      <c r="E49" s="0" t="inlineStr">
        <is>
          <t>decree_submissions, documents</t>
        </is>
      </c>
      <c r="F49" s="0" t="inlineStr">
        <is>
          <t>Nomor unik dan file hasil tersedia</t>
        </is>
      </c>
      <c r="G49" s="0" t="inlineStr">
        <is>
          <t>Belum Mulai</t>
        </is>
      </c>
      <c r="H49" s="0"/>
      <c r="I49" s="0"/>
      <c r="J49" s="0"/>
      <c r="K49" s="0"/>
      <c r="L49" s="0"/>
      <c r="M49" s="0"/>
    </row>
    <row r="50">
      <c r="A50" s="0" t="inlineStr">
        <is>
          <t>49</t>
        </is>
      </c>
      <c r="B50" s="0" t="inlineStr">
        <is>
          <t>P1</t>
        </is>
      </c>
      <c r="C50" s="0" t="inlineStr">
        <is>
          <t>Decree</t>
        </is>
      </c>
      <c r="D50" s="0" t="inlineStr">
        <is>
          <t>Uji koreksi SK</t>
        </is>
      </c>
      <c r="E50" s="0" t="inlineStr">
        <is>
          <t>decree_correction_requests</t>
        </is>
      </c>
      <c r="F50" s="0" t="inlineStr">
        <is>
          <t>Request, approval, dan dokumen koreksi tersimpan</t>
        </is>
      </c>
      <c r="G50" s="0" t="inlineStr">
        <is>
          <t>Belum Mulai</t>
        </is>
      </c>
      <c r="H50" s="0"/>
      <c r="I50" s="0"/>
      <c r="J50" s="0"/>
      <c r="K50" s="0"/>
      <c r="L50" s="0"/>
      <c r="M50" s="0"/>
    </row>
    <row r="51">
      <c r="A51" s="0" t="inlineStr">
        <is>
          <t>50</t>
        </is>
      </c>
      <c r="B51" s="0" t="inlineStr">
        <is>
          <t>P1</t>
        </is>
      </c>
      <c r="C51" s="0" t="inlineStr">
        <is>
          <t>Workflow</t>
        </is>
      </c>
      <c r="D51" s="0" t="inlineStr">
        <is>
          <t>Validasi approval request dan status history</t>
        </is>
      </c>
      <c r="E51" s="0" t="inlineStr">
        <is>
          <t>approval_requests, *_status_histories</t>
        </is>
      </c>
      <c r="F51" s="0" t="inlineStr">
        <is>
          <t>Perubahan status memiliki actor dan waktu</t>
        </is>
      </c>
      <c r="G51" s="0" t="inlineStr">
        <is>
          <t>Belum Mulai</t>
        </is>
      </c>
      <c r="H51" s="0"/>
      <c r="I51" s="0"/>
      <c r="J51" s="0"/>
      <c r="K51" s="0"/>
      <c r="L51" s="0"/>
      <c r="M51" s="0"/>
    </row>
    <row r="52">
      <c r="A52" s="0" t="inlineStr">
        <is>
          <t>51</t>
        </is>
      </c>
      <c r="B52" s="0" t="inlineStr">
        <is>
          <t>P1</t>
        </is>
      </c>
      <c r="C52" s="0" t="inlineStr">
        <is>
          <t>Mutation</t>
        </is>
      </c>
      <c r="D52" s="0" t="inlineStr">
        <is>
          <t>Validasi mutasi pegawai</t>
        </is>
      </c>
      <c r="E52" s="0" t="inlineStr">
        <is>
          <t>employee_mutations</t>
        </is>
      </c>
      <c r="F52" s="0" t="inlineStr">
        <is>
          <t>Pegawai, sekolah asal, sekolah tujuan valid</t>
        </is>
      </c>
      <c r="G52" s="0" t="inlineStr">
        <is>
          <t>Belum Mulai</t>
        </is>
      </c>
      <c r="H52" s="0"/>
      <c r="I52" s="0"/>
      <c r="J52" s="0"/>
      <c r="K52" s="0"/>
      <c r="L52" s="0"/>
      <c r="M52" s="0"/>
    </row>
    <row r="53">
      <c r="A53" s="0" t="inlineStr">
        <is>
          <t>52</t>
        </is>
      </c>
      <c r="B53" s="0" t="inlineStr">
        <is>
          <t>P1</t>
        </is>
      </c>
      <c r="C53" s="0" t="inlineStr">
        <is>
          <t>Correspondence</t>
        </is>
      </c>
      <c r="D53" s="0" t="inlineStr">
        <is>
          <t>Validasi persuratan</t>
        </is>
      </c>
      <c r="E53" s="0" t="inlineStr">
        <is>
          <t>correspondence_requests, correspondence_types</t>
        </is>
      </c>
      <c r="F53" s="0" t="inlineStr">
        <is>
          <t>Pemohon, sekolah, tipe, status, dan file benar</t>
        </is>
      </c>
      <c r="G53" s="0" t="inlineStr">
        <is>
          <t>Belum Mulai</t>
        </is>
      </c>
      <c r="H53" s="0"/>
      <c r="I53" s="0"/>
      <c r="J53" s="0"/>
      <c r="K53" s="0"/>
      <c r="L53" s="0"/>
      <c r="M53" s="0"/>
    </row>
    <row r="54">
      <c r="A54" s="0" t="inlineStr">
        <is>
          <t>53</t>
        </is>
      </c>
      <c r="B54" s="0" t="inlineStr">
        <is>
          <t>P1</t>
        </is>
      </c>
      <c r="C54" s="0" t="inlineStr">
        <is>
          <t>Proposal</t>
        </is>
      </c>
      <c r="D54" s="0" t="inlineStr">
        <is>
          <t>Validasi proposal bantuan</t>
        </is>
      </c>
      <c r="E54" s="0" t="inlineStr">
        <is>
          <t>proposal_requests, proposal_requirements</t>
        </is>
      </c>
      <c r="F54" s="0" t="inlineStr">
        <is>
          <t>Nominal, rekening, status, sekolah, dan lampiran konsisten</t>
        </is>
      </c>
      <c r="G54" s="0" t="inlineStr">
        <is>
          <t>Belum Mulai</t>
        </is>
      </c>
      <c r="H54" s="0"/>
      <c r="I54" s="0"/>
      <c r="J54" s="0"/>
      <c r="K54" s="0"/>
      <c r="L54" s="0"/>
      <c r="M54" s="0"/>
    </row>
    <row r="55">
      <c r="A55" s="0" t="inlineStr">
        <is>
          <t>54</t>
        </is>
      </c>
      <c r="B55" s="0" t="inlineStr">
        <is>
          <t>P1</t>
        </is>
      </c>
      <c r="C55" s="0" t="inlineStr">
        <is>
          <t>SIPINTER</t>
        </is>
      </c>
      <c r="D55" s="0" t="inlineStr">
        <is>
          <t>Validasi pembaruan SIPINTER</t>
        </is>
      </c>
      <c r="E55" s="0" t="inlineStr">
        <is>
          <t>sipinter_updates, sipinter_requirements</t>
        </is>
      </c>
      <c r="F55" s="0" t="inlineStr">
        <is>
          <t>Satu record terbaik per sekolah dan dokumen lengkap</t>
        </is>
      </c>
      <c r="G55" s="0" t="inlineStr">
        <is>
          <t>Belum Mulai</t>
        </is>
      </c>
      <c r="H55" s="0"/>
      <c r="I55" s="0"/>
      <c r="J55" s="0"/>
      <c r="K55" s="0"/>
      <c r="L55" s="0"/>
      <c r="M55" s="0"/>
    </row>
    <row r="56">
      <c r="A56" s="0" t="inlineStr">
        <is>
          <t>55</t>
        </is>
      </c>
      <c r="B56" s="0" t="inlineStr">
        <is>
          <t>P1</t>
        </is>
      </c>
      <c r="C56" s="0" t="inlineStr">
        <is>
          <t>Documents</t>
        </is>
      </c>
      <c r="D56" s="0" t="inlineStr">
        <is>
          <t>Buat dan jalankan command production:documents-audit</t>
        </is>
      </c>
      <c r="E56" s="0" t="inlineStr">
        <is>
          <t>documents, storage disks</t>
        </is>
      </c>
      <c r="F56" s="0" t="inlineStr">
        <is>
          <t>Path, MIME, ukuran, checksum, dan hak akses tervalidasi</t>
        </is>
      </c>
      <c r="G56" s="0" t="inlineStr">
        <is>
          <t>Belum Mulai</t>
        </is>
      </c>
      <c r="H56" s="0"/>
      <c r="I56" s="0"/>
      <c r="J56" s="0"/>
      <c r="K56" s="0"/>
      <c r="L56" s="0"/>
      <c r="M56" s="0"/>
    </row>
    <row r="57">
      <c r="A57" s="0" t="inlineStr">
        <is>
          <t>56</t>
        </is>
      </c>
      <c r="B57" s="0" t="inlineStr">
        <is>
          <t>P1</t>
        </is>
      </c>
      <c r="C57" s="0" t="inlineStr">
        <is>
          <t>Documents</t>
        </is>
      </c>
      <c r="D57" s="0" t="inlineStr">
        <is>
          <t>Audit dokumen SK pegawai</t>
        </is>
      </c>
      <c r="E57" s="0" t="inlineStr">
        <is>
          <t>documents</t>
        </is>
      </c>
      <c r="F57" s="0" t="inlineStr">
        <is>
          <t>Semua file penting tersedia atau masuk exception report</t>
        </is>
      </c>
      <c r="G57" s="0" t="inlineStr">
        <is>
          <t>Belum Mulai</t>
        </is>
      </c>
      <c r="H57" s="0"/>
      <c r="I57" s="0"/>
      <c r="J57" s="0"/>
      <c r="K57" s="0"/>
      <c r="L57" s="0"/>
      <c r="M57" s="0"/>
    </row>
    <row r="58">
      <c r="A58" s="0" t="inlineStr">
        <is>
          <t>57</t>
        </is>
      </c>
      <c r="B58" s="0" t="inlineStr">
        <is>
          <t>P1</t>
        </is>
      </c>
      <c r="C58" s="0" t="inlineStr">
        <is>
          <t>Documents</t>
        </is>
      </c>
      <c r="D58" s="0" t="inlineStr">
        <is>
          <t>Audit avatar/foto profil</t>
        </is>
      </c>
      <c r="E58" s="0" t="inlineStr">
        <is>
          <t>users, employees, public storage</t>
        </is>
      </c>
      <c r="F58" s="0" t="inlineStr">
        <is>
          <t>Path foto valid dan tidak rusak</t>
        </is>
      </c>
      <c r="G58" s="0" t="inlineStr">
        <is>
          <t>Belum Mulai</t>
        </is>
      </c>
      <c r="H58" s="0"/>
      <c r="I58" s="0"/>
      <c r="J58" s="0"/>
      <c r="K58" s="0"/>
      <c r="L58" s="0"/>
      <c r="M58" s="0"/>
    </row>
    <row r="59">
      <c r="A59" s="0" t="inlineStr">
        <is>
          <t>58</t>
        </is>
      </c>
      <c r="B59" s="0" t="inlineStr">
        <is>
          <t>P1</t>
        </is>
      </c>
      <c r="C59" s="0" t="inlineStr">
        <is>
          <t>Learning</t>
        </is>
      </c>
      <c r="D59" s="0" t="inlineStr">
        <is>
          <t>Validasi modul pembelajaran dan file unduhan</t>
        </is>
      </c>
      <c r="E59" s="0" t="inlineStr">
        <is>
          <t>learning_modules</t>
        </is>
      </c>
      <c r="F59" s="0" t="inlineStr">
        <is>
          <t>Metadata dan file modul konsisten</t>
        </is>
      </c>
      <c r="G59" s="0" t="inlineStr">
        <is>
          <t>Belum Mulai</t>
        </is>
      </c>
      <c r="H59" s="0"/>
      <c r="I59" s="0"/>
      <c r="J59" s="0"/>
      <c r="K59" s="0"/>
      <c r="L59" s="0"/>
      <c r="M59" s="0"/>
    </row>
    <row r="60">
      <c r="A60" s="0" t="inlineStr">
        <is>
          <t>59</t>
        </is>
      </c>
      <c r="B60" s="0" t="inlineStr">
        <is>
          <t>P1</t>
        </is>
      </c>
      <c r="C60" s="0" t="inlineStr">
        <is>
          <t>Batik</t>
        </is>
      </c>
      <c r="D60" s="0" t="inlineStr">
        <is>
          <t>Validasi katalog dan stok batik</t>
        </is>
      </c>
      <c r="E60" s="0" t="inlineStr">
        <is>
          <t>batik_products</t>
        </is>
      </c>
      <c r="F60" s="0" t="inlineStr">
        <is>
          <t>Produk, harga, stok, dan foundation benar</t>
        </is>
      </c>
      <c r="G60" s="0" t="inlineStr">
        <is>
          <t>Belum Mulai</t>
        </is>
      </c>
      <c r="H60" s="0"/>
      <c r="I60" s="0"/>
      <c r="J60" s="0"/>
      <c r="K60" s="0"/>
      <c r="L60" s="0"/>
      <c r="M60" s="0"/>
    </row>
    <row r="61">
      <c r="A61" s="0" t="inlineStr">
        <is>
          <t>60</t>
        </is>
      </c>
      <c r="B61" s="0" t="inlineStr">
        <is>
          <t>P1</t>
        </is>
      </c>
      <c r="C61" s="0" t="inlineStr">
        <is>
          <t>Batik</t>
        </is>
      </c>
      <c r="D61" s="0" t="inlineStr">
        <is>
          <t>Validasi order batik dan total tagihan</t>
        </is>
      </c>
      <c r="E61" s="0" t="inlineStr">
        <is>
          <t>batik_orders</t>
        </is>
      </c>
      <c r="F61" s="0" t="inlineStr">
        <is>
          <t>Quantity x harga sama dengan total order</t>
        </is>
      </c>
      <c r="G61" s="0" t="inlineStr">
        <is>
          <t>Belum Mulai</t>
        </is>
      </c>
      <c r="H61" s="0"/>
      <c r="I61" s="0"/>
      <c r="J61" s="0"/>
      <c r="K61" s="0"/>
      <c r="L61" s="0"/>
      <c r="M61" s="0"/>
    </row>
    <row r="62">
      <c r="A62" s="0" t="inlineStr">
        <is>
          <t>61</t>
        </is>
      </c>
      <c r="B62" s="0" t="inlineStr">
        <is>
          <t>P2</t>
        </is>
      </c>
      <c r="C62" s="0" t="inlineStr">
        <is>
          <t>Testing</t>
        </is>
      </c>
      <c r="D62" s="0" t="inlineStr">
        <is>
          <t>Buat matriks role vs fitur</t>
        </is>
      </c>
      <c r="E62" s="0" t="inlineStr">
        <is>
          <t>Seluruh panel</t>
        </is>
      </c>
      <c r="F62" s="0" t="inlineStr">
        <is>
          <t>Semua kombinasi akses prioritas tercatat</t>
        </is>
      </c>
      <c r="G62" s="0" t="inlineStr">
        <is>
          <t>Belum Mulai</t>
        </is>
      </c>
      <c r="H62" s="0"/>
      <c r="I62" s="0"/>
      <c r="J62" s="0"/>
      <c r="K62" s="0"/>
      <c r="L62" s="0"/>
      <c r="M62" s="0"/>
    </row>
    <row r="63">
      <c r="A63" s="0" t="inlineStr">
        <is>
          <t>62</t>
        </is>
      </c>
      <c r="B63" s="0" t="inlineStr">
        <is>
          <t>P2</t>
        </is>
      </c>
      <c r="C63" s="0" t="inlineStr">
        <is>
          <t>Testing</t>
        </is>
      </c>
      <c r="D63" s="0" t="inlineStr">
        <is>
          <t>Jalankan smoke test login sampai logout</t>
        </is>
      </c>
      <c r="E63" s="0" t="inlineStr">
        <is>
          <t>Aplikasi production</t>
        </is>
      </c>
      <c r="F63" s="0" t="inlineStr">
        <is>
          <t>Alur dasar berhasil</t>
        </is>
      </c>
      <c r="G63" s="0" t="inlineStr">
        <is>
          <t>Belum Mulai</t>
        </is>
      </c>
      <c r="H63" s="0"/>
      <c r="I63" s="0"/>
      <c r="J63" s="0"/>
      <c r="K63" s="0"/>
      <c r="L63" s="0"/>
      <c r="M63" s="0"/>
    </row>
    <row r="64">
      <c r="A64" s="0" t="inlineStr">
        <is>
          <t>63</t>
        </is>
      </c>
      <c r="B64" s="0" t="inlineStr">
        <is>
          <t>P2</t>
        </is>
      </c>
      <c r="C64" s="0" t="inlineStr">
        <is>
          <t>Testing</t>
        </is>
      </c>
      <c r="D64" s="0" t="inlineStr">
        <is>
          <t>Uji upload dan download dokumen</t>
        </is>
      </c>
      <c r="E64" s="0" t="inlineStr">
        <is>
          <t>Routes download</t>
        </is>
      </c>
      <c r="F64" s="0" t="inlineStr">
        <is>
          <t>Authorization dan file response benar</t>
        </is>
      </c>
      <c r="G64" s="0" t="inlineStr">
        <is>
          <t>Belum Mulai</t>
        </is>
      </c>
      <c r="H64" s="0"/>
      <c r="I64" s="0"/>
      <c r="J64" s="0"/>
      <c r="K64" s="0"/>
      <c r="L64" s="0"/>
      <c r="M64" s="0"/>
    </row>
    <row r="65">
      <c r="A65" s="0" t="inlineStr">
        <is>
          <t>64</t>
        </is>
      </c>
      <c r="B65" s="0" t="inlineStr">
        <is>
          <t>P2</t>
        </is>
      </c>
      <c r="C65" s="0" t="inlineStr">
        <is>
          <t>Testing</t>
        </is>
      </c>
      <c r="D65" s="0" t="inlineStr">
        <is>
          <t>Uji approval approve/reject</t>
        </is>
      </c>
      <c r="E65" s="0" t="inlineStr">
        <is>
          <t>Workflow</t>
        </is>
      </c>
      <c r="F65" s="0" t="inlineStr">
        <is>
          <t>Perubahan status dan notifikasi benar</t>
        </is>
      </c>
      <c r="G65" s="0" t="inlineStr">
        <is>
          <t>Belum Mulai</t>
        </is>
      </c>
      <c r="H65" s="0"/>
      <c r="I65" s="0"/>
      <c r="J65" s="0"/>
      <c r="K65" s="0"/>
      <c r="L65" s="0"/>
      <c r="M65" s="0"/>
    </row>
    <row r="66">
      <c r="A66" s="0" t="inlineStr">
        <is>
          <t>65</t>
        </is>
      </c>
      <c r="B66" s="0" t="inlineStr">
        <is>
          <t>P2</t>
        </is>
      </c>
      <c r="C66" s="0" t="inlineStr">
        <is>
          <t>Testing</t>
        </is>
      </c>
      <c r="D66" s="0" t="inlineStr">
        <is>
          <t>Uji error data kosong, orphan, dan invalid</t>
        </is>
      </c>
      <c r="E66" s="0" t="inlineStr">
        <is>
          <t>Semua fitur</t>
        </is>
      </c>
      <c r="F66" s="0" t="inlineStr">
        <is>
          <t>Aplikasi menampilkan exception secara aman</t>
        </is>
      </c>
      <c r="G66" s="0" t="inlineStr">
        <is>
          <t>Belum Mulai</t>
        </is>
      </c>
      <c r="H66" s="0"/>
      <c r="I66" s="0"/>
      <c r="J66" s="0"/>
      <c r="K66" s="0"/>
      <c r="L66" s="0"/>
      <c r="M66" s="0"/>
    </row>
    <row r="67">
      <c r="A67" s="0" t="inlineStr">
        <is>
          <t>66</t>
        </is>
      </c>
      <c r="B67" s="0" t="inlineStr">
        <is>
          <t>P2</t>
        </is>
      </c>
      <c r="C67" s="0" t="inlineStr">
        <is>
          <t>Security</t>
        </is>
      </c>
      <c r="D67" s="0" t="inlineStr">
        <is>
          <t>Validasi semua route download memakai authorization</t>
        </is>
      </c>
      <c r="E67" s="0" t="inlineStr">
        <is>
          <t>routes/web.php</t>
        </is>
      </c>
      <c r="F67" s="0" t="inlineStr">
        <is>
          <t>Tidak ada kebocoran dokumen</t>
        </is>
      </c>
      <c r="G67" s="0" t="inlineStr">
        <is>
          <t>Belum Mulai</t>
        </is>
      </c>
      <c r="H67" s="0"/>
      <c r="I67" s="0"/>
      <c r="J67" s="0"/>
      <c r="K67" s="0"/>
      <c r="L67" s="0"/>
      <c r="M67" s="0"/>
    </row>
    <row r="68">
      <c r="A68" s="0" t="inlineStr">
        <is>
          <t>67</t>
        </is>
      </c>
      <c r="B68" s="0" t="inlineStr">
        <is>
          <t>P2</t>
        </is>
      </c>
      <c r="C68" s="0" t="inlineStr">
        <is>
          <t>Security</t>
        </is>
      </c>
      <c r="D68" s="0" t="inlineStr">
        <is>
          <t>Validasi callback pembayaran dengan signature</t>
        </is>
      </c>
      <c r="E68" s="0" t="inlineStr">
        <is>
          <t>Payment callback</t>
        </is>
      </c>
      <c r="F68" s="0" t="inlineStr">
        <is>
          <t>Signature wajib valid</t>
        </is>
      </c>
      <c r="G68" s="0" t="inlineStr">
        <is>
          <t>Belum Mulai</t>
        </is>
      </c>
      <c r="H68" s="0"/>
      <c r="I68" s="0"/>
      <c r="J68" s="0"/>
      <c r="K68" s="0"/>
      <c r="L68" s="0"/>
      <c r="M68" s="0"/>
    </row>
    <row r="69">
      <c r="A69" s="0" t="inlineStr">
        <is>
          <t>68</t>
        </is>
      </c>
      <c r="B69" s="0" t="inlineStr">
        <is>
          <t>P2</t>
        </is>
      </c>
      <c r="C69" s="0" t="inlineStr">
        <is>
          <t>Security</t>
        </is>
      </c>
      <c r="D69" s="0" t="inlineStr">
        <is>
          <t>Pastikan data sensitif tidak masuk log</t>
        </is>
      </c>
      <c r="E69" s="0" t="inlineStr">
        <is>
          <t>Logs, audit</t>
        </is>
      </c>
      <c r="F69" s="0" t="inlineStr">
        <is>
          <t>Tidak ada password/token/secret di log</t>
        </is>
      </c>
      <c r="G69" s="0" t="inlineStr">
        <is>
          <t>Belum Mulai</t>
        </is>
      </c>
      <c r="H69" s="0"/>
      <c r="I69" s="0"/>
      <c r="J69" s="0"/>
      <c r="K69" s="0"/>
      <c r="L69" s="0"/>
      <c r="M69" s="0"/>
    </row>
    <row r="70">
      <c r="A70" s="0" t="inlineStr">
        <is>
          <t>69</t>
        </is>
      </c>
      <c r="B70" s="0" t="inlineStr">
        <is>
          <t>P2</t>
        </is>
      </c>
      <c r="C70" s="0" t="inlineStr">
        <is>
          <t>Monitoring</t>
        </is>
      </c>
      <c r="D70" s="0" t="inlineStr">
        <is>
          <t>Pantau failed jobs, error aplikasi, query lambat, dan upload gagal</t>
        </is>
      </c>
      <c r="E70" s="0" t="inlineStr">
        <is>
          <t>Logs/monitoring</t>
        </is>
      </c>
      <c r="F70" s="0" t="inlineStr">
        <is>
          <t>Alert dan prosedur penanganan tersedia</t>
        </is>
      </c>
      <c r="G70" s="0" t="inlineStr">
        <is>
          <t>Belum Mulai</t>
        </is>
      </c>
      <c r="H70" s="0"/>
      <c r="I70" s="0"/>
      <c r="J70" s="0"/>
      <c r="K70" s="0"/>
      <c r="L70" s="0"/>
      <c r="M70" s="0"/>
    </row>
    <row r="71">
      <c r="A71" s="0" t="inlineStr">
        <is>
          <t>70</t>
        </is>
      </c>
      <c r="B71" s="0" t="inlineStr">
        <is>
          <t>P2</t>
        </is>
      </c>
      <c r="C71" s="0" t="inlineStr">
        <is>
          <t>Backup</t>
        </is>
      </c>
      <c r="D71" s="0" t="inlineStr">
        <is>
          <t>Uji restore backup production</t>
        </is>
      </c>
      <c r="E71" s="0" t="inlineStr">
        <is>
          <t>Backup</t>
        </is>
      </c>
      <c r="F71" s="0" t="inlineStr">
        <is>
          <t>Restore berhasil di environment terpisah</t>
        </is>
      </c>
      <c r="G71" s="0" t="inlineStr">
        <is>
          <t>Belum Mulai</t>
        </is>
      </c>
      <c r="H71" s="0"/>
      <c r="I71" s="0"/>
      <c r="J71" s="0"/>
      <c r="K71" s="0"/>
      <c r="L71" s="0"/>
      <c r="M71" s="0"/>
    </row>
    <row r="72">
      <c r="A72" s="0" t="inlineStr">
        <is>
          <t>71</t>
        </is>
      </c>
      <c r="B72" s="0" t="inlineStr">
        <is>
          <t>P2</t>
        </is>
      </c>
      <c r="C72" s="0" t="inlineStr">
        <is>
          <t>UAT</t>
        </is>
      </c>
      <c r="D72" s="0" t="inlineStr">
        <is>
          <t>Lakukan UAT dengan perwakilan tiap role</t>
        </is>
      </c>
      <c r="E72" s="0" t="inlineStr">
        <is>
          <t>Aplikasi production</t>
        </is>
      </c>
      <c r="F72" s="0" t="inlineStr">
        <is>
          <t>Berita acara UAT dan daftar temuan tersedia</t>
        </is>
      </c>
      <c r="G72" s="0" t="inlineStr">
        <is>
          <t>Belum Mulai</t>
        </is>
      </c>
      <c r="H72" s="0"/>
      <c r="I72" s="0"/>
      <c r="J72" s="0"/>
      <c r="K72" s="0"/>
      <c r="L72" s="0"/>
      <c r="M72" s="0"/>
    </row>
    <row r="73">
      <c r="A73" s="0" t="inlineStr">
        <is>
          <t>72</t>
        </is>
      </c>
      <c r="B73" s="0" t="inlineStr">
        <is>
          <t>P2</t>
        </is>
      </c>
      <c r="C73" s="0" t="inlineStr">
        <is>
          <t>Go Live</t>
        </is>
      </c>
      <c r="D73" s="0" t="inlineStr">
        <is>
          <t>Buat berita acara production readiness</t>
        </is>
      </c>
      <c r="E73" s="0" t="inlineStr">
        <is>
          <t>Seluruh hasil checklist</t>
        </is>
      </c>
      <c r="F73" s="0" t="inlineStr">
        <is>
          <t>Semua P0 selesai, P1 kritikal selesai, risiko tersisa disetujui</t>
        </is>
      </c>
      <c r="G73" s="0" t="inlineStr">
        <is>
          <t>Belum Mulai</t>
        </is>
      </c>
      <c r="H73" s="0"/>
      <c r="I73" s="0"/>
      <c r="J73" s="0"/>
      <c r="K73" s="0"/>
      <c r="L73" s="0"/>
      <c r="M73" s="0"/>
    </row>
  </sheetData>
  <autoFilter ref="A1:L73"/>
  <dataValidations count="1">
    <dataValidation type="list" sqref="G2:G200">
      <formula1>"Belum Mulai,Berjalan,Selesai,Blocked"</formula1>
    </dataValidation>
  </dataValidations>
</worksheet>
</file>

<file path=xl/worksheets/sheet3.xml><?xml version="1.0" encoding="utf-8"?>
<worksheet xmlns="http://schemas.openxmlformats.org/spreadsheetml/2006/main">
  <sheetViews>
    <sheetView showGridLines="0"/>
  </sheetViews>
  <sheetData>
    <row r="1">
      <c r="A1" s="1" t="inlineStr">
        <is>
          <t>Sumber</t>
        </is>
      </c>
      <c r="B1" s="1" t="inlineStr">
        <is>
          <t>Keterangan</t>
        </is>
      </c>
    </row>
    <row r="2">
      <c r="A2" s="0" t="inlineStr">
        <is>
          <t>docs/SIDIKMA_TAHAP_1_INVENTARISASI_DATABASE.md</t>
        </is>
      </c>
      <c r="B2" s="0" t="inlineStr">
        <is>
          <t>Pemetaan source SIDIKMA ke target PostgreSQL dan urutan migrasi</t>
        </is>
      </c>
    </row>
    <row r="3">
      <c r="A3" s="0" t="inlineStr">
        <is>
          <t>routes/web.php</t>
        </is>
      </c>
      <c r="B3" s="0" t="inlineStr">
        <is>
          <t>Route pembayaran, presensi, peta, dan dokumen</t>
        </is>
      </c>
    </row>
    <row r="4">
      <c r="A4" s="0" t="inlineStr">
        <is>
          <t>app/Models</t>
        </is>
      </c>
      <c r="B4" s="0" t="inlineStr">
        <is>
          <t>Model domain aplikasi</t>
        </is>
      </c>
    </row>
    <row r="5">
      <c r="A5" s="0" t="inlineStr">
        <is>
          <t>app/Filament/Resources</t>
        </is>
      </c>
      <c r="B5" s="0" t="inlineStr">
        <is>
          <t>Resource CRUD dan workflow Filament</t>
        </is>
      </c>
    </row>
    <row r="6">
      <c r="A6" s="0" t="inlineStr">
        <is>
          <t>database/migrations</t>
        </is>
      </c>
      <c r="B6" s="0" t="inlineStr">
        <is>
          <t>Struktur tabel dan constraint</t>
        </is>
      </c>
    </row>
    <row r="7">
      <c r="A7" s="0" t="inlineStr">
        <is>
          <t>.env.example</t>
        </is>
      </c>
      <c r="B7" s="0" t="inlineStr">
        <is>
          <t>Referensi konfigurasi environment</t>
        </is>
      </c>
    </row>
    <row r="8">
      <c r="A8" s="0" t="inlineStr">
        <is>
          <t>Catatan</t>
        </is>
      </c>
      <c r="B8" s="0" t="inlineStr">
        <is>
          <t>Status awal seluruh tugas adalah Belum Mulai.</t>
        </is>
      </c>
    </row>
  </sheetData>
</worksheet>
</file>

<file path=xl/worksheets/sheet4.xml><?xml version="1.0" encoding="utf-8"?>
<worksheet xmlns="http://schemas.openxmlformats.org/spreadsheetml/2006/main">
  <sheetViews>
    <sheetView showGridLines="0"/>
  </sheetViews>
  <sheetData>
    <row r="1">
      <c r="A1" s="1" t="inlineStr">
        <is>
          <t>Tanggal</t>
        </is>
      </c>
      <c r="B1" s="1" t="inlineStr">
        <is>
          <t>ID tugas</t>
        </is>
      </c>
      <c r="C1" s="1" t="inlineStr">
        <is>
          <t>Status sebelum</t>
        </is>
      </c>
      <c r="D1" s="1" t="inlineStr">
        <is>
          <t>Status sesudah</t>
        </is>
      </c>
      <c r="E1" s="1" t="inlineStr">
        <is>
          <t>Pelaksana</t>
        </is>
      </c>
      <c r="F1" s="1" t="inlineStr">
        <is>
          <t>Bukti/Link</t>
        </is>
      </c>
      <c r="G1" s="1" t="inlineStr">
        <is>
          <t>Temuan</t>
        </is>
      </c>
      <c r="H1" s="1" t="inlineStr">
        <is>
          <t>Tindak lanjut</t>
        </is>
      </c>
    </row>
  </sheetData>
</worksheet>
</file>